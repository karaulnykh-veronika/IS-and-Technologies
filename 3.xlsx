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Ника\Desktop\"/>
    </mc:Choice>
  </mc:AlternateContent>
  <xr:revisionPtr revIDLastSave="0" documentId="13_ncr:1_{22082363-6773-4E78-9376-46410B034DAA}" xr6:coauthVersionLast="47" xr6:coauthVersionMax="47" xr10:uidLastSave="{00000000-0000-0000-0000-000000000000}"/>
  <bookViews>
    <workbookView xWindow="5148" yWindow="6672" windowWidth="17280" windowHeight="8880" firstSheet="3" activeTab="4" xr2:uid="{CB691C50-0893-4B95-9694-2A7BF3D716BC}"/>
  </bookViews>
  <sheets>
    <sheet name="Задача 1" sheetId="1" r:id="rId1"/>
    <sheet name="Задача 2" sheetId="2" r:id="rId2"/>
    <sheet name="Задача 3" sheetId="3" r:id="rId3"/>
    <sheet name="Задача 4" sheetId="4" r:id="rId4"/>
    <sheet name="Задача 5" sheetId="5" r:id="rId5"/>
    <sheet name="Задача 6" sheetId="7" r:id="rId6"/>
  </sheets>
  <definedNames>
    <definedName name="solver_adj" localSheetId="0" hidden="1">'Задача 1'!$B$11:$B$13</definedName>
    <definedName name="solver_adj" localSheetId="1" hidden="1">'Задача 2'!$B$8:$B$10</definedName>
    <definedName name="solver_adj" localSheetId="2" hidden="1">'Задача 3'!$C$5,'Задача 3'!$E$4,'Задача 3'!$E$5,'Задача 3'!$E$9</definedName>
    <definedName name="solver_adj" localSheetId="3" hidden="1">'Задача 4'!$B$7:$C$7</definedName>
    <definedName name="solver_adj" localSheetId="4" hidden="1">'Задача 5'!$C$8:$C$10</definedName>
    <definedName name="solver_adj" localSheetId="5" hidden="1">'Задача 6'!$E$2:$E$7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eng" localSheetId="0" hidden="1">2</definedName>
    <definedName name="solver_eng" localSheetId="1" hidden="1">2</definedName>
    <definedName name="solver_eng" localSheetId="2" hidden="1">1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lhs1" localSheetId="0" hidden="1">'Задача 1'!$B$11</definedName>
    <definedName name="solver_lhs1" localSheetId="1" hidden="1">'Задача 2'!$B$10</definedName>
    <definedName name="solver_lhs1" localSheetId="2" hidden="1">'Задача 3'!$C$15</definedName>
    <definedName name="solver_lhs1" localSheetId="3" hidden="1">'Задача 4'!$B$7:$C$7</definedName>
    <definedName name="solver_lhs1" localSheetId="4" hidden="1">'Задача 5'!$C$8:$C$10</definedName>
    <definedName name="solver_lhs1" localSheetId="5" hidden="1">'Задача 6'!$B$8</definedName>
    <definedName name="solver_lhs2" localSheetId="0" hidden="1">'Задача 1'!$B$11:$B$13</definedName>
    <definedName name="solver_lhs2" localSheetId="1" hidden="1">'Задача 2'!$B$8</definedName>
    <definedName name="solver_lhs2" localSheetId="2" hidden="1">'Задача 3'!$E$4</definedName>
    <definedName name="solver_lhs2" localSheetId="3" hidden="1">'Задача 4'!$E$2</definedName>
    <definedName name="solver_lhs2" localSheetId="4" hidden="1">'Задача 5'!$C$8:$C$10</definedName>
    <definedName name="solver_lhs2" localSheetId="5" hidden="1">'Задача 6'!$C$8</definedName>
    <definedName name="solver_lhs3" localSheetId="0" hidden="1">'Задача 1'!$B$11:$B$13</definedName>
    <definedName name="solver_lhs3" localSheetId="1" hidden="1">'Задача 2'!$B$8:$B$10</definedName>
    <definedName name="solver_lhs3" localSheetId="2" hidden="1">'Задача 3'!$E$4</definedName>
    <definedName name="solver_lhs3" localSheetId="3" hidden="1">'Задача 4'!$E$3</definedName>
    <definedName name="solver_lhs3" localSheetId="4" hidden="1">'Задача 5'!$D$12</definedName>
    <definedName name="solver_lhs3" localSheetId="5" hidden="1">'Задача 6'!$D$8</definedName>
    <definedName name="solver_lhs4" localSheetId="0" hidden="1">'Задача 1'!$B$12</definedName>
    <definedName name="solver_lhs4" localSheetId="1" hidden="1">'Задача 2'!$B$8:$B$10</definedName>
    <definedName name="solver_lhs4" localSheetId="2" hidden="1">'Задача 3'!$E$5</definedName>
    <definedName name="solver_lhs4" localSheetId="3" hidden="1">'Задача 4'!$E$4</definedName>
    <definedName name="solver_lhs4" localSheetId="4" hidden="1">'Задача 5'!$E$12</definedName>
    <definedName name="solver_lhs4" localSheetId="5" hidden="1">'Задача 6'!$E$2:$E$7</definedName>
    <definedName name="solver_lhs5" localSheetId="0" hidden="1">'Задача 1'!$B$13</definedName>
    <definedName name="solver_lhs5" localSheetId="1" hidden="1">'Задача 2'!$B$9</definedName>
    <definedName name="solver_lhs5" localSheetId="2" hidden="1">'Задача 3'!$E$5</definedName>
    <definedName name="solver_lhs5" localSheetId="3" hidden="1">'Задача 4'!$E$5</definedName>
    <definedName name="solver_lhs5" localSheetId="4" hidden="1">'Задача 5'!$F$12</definedName>
    <definedName name="solver_lhs5" localSheetId="5" hidden="1">'Задача 6'!$E$2:$E$7</definedName>
    <definedName name="solver_lhs6" localSheetId="0" hidden="1">'Задача 1'!$B$14</definedName>
    <definedName name="solver_lhs6" localSheetId="1" hidden="1">'Задача 2'!$C$11</definedName>
    <definedName name="solver_lhs6" localSheetId="2" hidden="1">'Задача 3'!$E$9</definedName>
    <definedName name="solver_lhs6" localSheetId="4" hidden="1">'Задача 5'!$G$12</definedName>
    <definedName name="solver_lhs7" localSheetId="1" hidden="1">'Задача 2'!$D$11</definedName>
    <definedName name="solver_lhs7" localSheetId="2" hidden="1">'Задача 3'!$E$9</definedName>
    <definedName name="solver_lhs8" localSheetId="1" hidden="1">'Задача 2'!$E$11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um" localSheetId="0" hidden="1">6</definedName>
    <definedName name="solver_num" localSheetId="1" hidden="1">7</definedName>
    <definedName name="solver_num" localSheetId="2" hidden="1">7</definedName>
    <definedName name="solver_num" localSheetId="3" hidden="1">5</definedName>
    <definedName name="solver_num" localSheetId="4" hidden="1">6</definedName>
    <definedName name="solver_num" localSheetId="5" hidden="1">5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opt" localSheetId="0" hidden="1">'Задача 1'!$D$14</definedName>
    <definedName name="solver_opt" localSheetId="1" hidden="1">'Задача 2'!$E$11</definedName>
    <definedName name="solver_opt" localSheetId="2" hidden="1">'Задача 3'!$F$12</definedName>
    <definedName name="solver_opt" localSheetId="3" hidden="1">'Задача 4'!$E$6</definedName>
    <definedName name="solver_opt" localSheetId="4" hidden="1">'Задача 5'!$B$12</definedName>
    <definedName name="solver_opt" localSheetId="5" hidden="1">'Задача 6'!$E$8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el1" localSheetId="0" hidden="1">3</definedName>
    <definedName name="solver_rel1" localSheetId="1" hidden="1">1</definedName>
    <definedName name="solver_rel1" localSheetId="2" hidden="1">3</definedName>
    <definedName name="solver_rel1" localSheetId="3" hidden="1">3</definedName>
    <definedName name="solver_rel1" localSheetId="4" hidden="1">4</definedName>
    <definedName name="solver_rel1" localSheetId="5" hidden="1">3</definedName>
    <definedName name="solver_rel2" localSheetId="0" hidden="1">4</definedName>
    <definedName name="solver_rel2" localSheetId="1" hidden="1">1</definedName>
    <definedName name="solver_rel2" localSheetId="2" hidden="1">1</definedName>
    <definedName name="solver_rel2" localSheetId="3" hidden="1">1</definedName>
    <definedName name="solver_rel2" localSheetId="4" hidden="1">3</definedName>
    <definedName name="solver_rel2" localSheetId="5" hidden="1">3</definedName>
    <definedName name="solver_rel3" localSheetId="0" hidden="1">3</definedName>
    <definedName name="solver_rel3" localSheetId="1" hidden="1">4</definedName>
    <definedName name="solver_rel3" localSheetId="2" hidden="1">3</definedName>
    <definedName name="solver_rel3" localSheetId="3" hidden="1">1</definedName>
    <definedName name="solver_rel3" localSheetId="4" hidden="1">1</definedName>
    <definedName name="solver_rel3" localSheetId="5" hidden="1">3</definedName>
    <definedName name="solver_rel4" localSheetId="0" hidden="1">3</definedName>
    <definedName name="solver_rel4" localSheetId="1" hidden="1">3</definedName>
    <definedName name="solver_rel4" localSheetId="2" hidden="1">1</definedName>
    <definedName name="solver_rel4" localSheetId="3" hidden="1">1</definedName>
    <definedName name="solver_rel4" localSheetId="4" hidden="1">1</definedName>
    <definedName name="solver_rel4" localSheetId="5" hidden="1">4</definedName>
    <definedName name="solver_rel5" localSheetId="0" hidden="1">1</definedName>
    <definedName name="solver_rel5" localSheetId="1" hidden="1">1</definedName>
    <definedName name="solver_rel5" localSheetId="2" hidden="1">3</definedName>
    <definedName name="solver_rel5" localSheetId="3" hidden="1">1</definedName>
    <definedName name="solver_rel5" localSheetId="4" hidden="1">1</definedName>
    <definedName name="solver_rel5" localSheetId="5" hidden="1">3</definedName>
    <definedName name="solver_rel6" localSheetId="0" hidden="1">2</definedName>
    <definedName name="solver_rel6" localSheetId="1" hidden="1">1</definedName>
    <definedName name="solver_rel6" localSheetId="2" hidden="1">1</definedName>
    <definedName name="solver_rel6" localSheetId="4" hidden="1">1</definedName>
    <definedName name="solver_rel7" localSheetId="1" hidden="1">1</definedName>
    <definedName name="solver_rel7" localSheetId="2" hidden="1">3</definedName>
    <definedName name="solver_rel8" localSheetId="1" hidden="1">1</definedName>
    <definedName name="solver_rhs1" localSheetId="0" hidden="1">50</definedName>
    <definedName name="solver_rhs1" localSheetId="1" hidden="1">25</definedName>
    <definedName name="solver_rhs1" localSheetId="2" hidden="1">3000</definedName>
    <definedName name="solver_rhs1" localSheetId="3" hidden="1">0</definedName>
    <definedName name="solver_rhs1" localSheetId="4" hidden="1">"целое"</definedName>
    <definedName name="solver_rhs1" localSheetId="5" hidden="1">100</definedName>
    <definedName name="solver_rhs2" localSheetId="0" hidden="1">"целое"</definedName>
    <definedName name="solver_rhs2" localSheetId="1" hidden="1">20</definedName>
    <definedName name="solver_rhs2" localSheetId="2" hidden="1">5</definedName>
    <definedName name="solver_rhs2" localSheetId="3" hidden="1">'Задача 4'!$D$3</definedName>
    <definedName name="solver_rhs2" localSheetId="4" hidden="1">0</definedName>
    <definedName name="solver_rhs2" localSheetId="5" hidden="1">200</definedName>
    <definedName name="solver_rhs3" localSheetId="0" hidden="1">0</definedName>
    <definedName name="solver_rhs3" localSheetId="1" hidden="1">"целое"</definedName>
    <definedName name="solver_rhs3" localSheetId="2" hidden="1">3</definedName>
    <definedName name="solver_rhs3" localSheetId="3" hidden="1">'Задача 4'!$D$3</definedName>
    <definedName name="solver_rhs3" localSheetId="4" hidden="1">'Задача 5'!$D$11</definedName>
    <definedName name="solver_rhs3" localSheetId="5" hidden="1">300</definedName>
    <definedName name="solver_rhs4" localSheetId="0" hidden="1">40</definedName>
    <definedName name="solver_rhs4" localSheetId="1" hidden="1">0</definedName>
    <definedName name="solver_rhs4" localSheetId="2" hidden="1">6</definedName>
    <definedName name="solver_rhs4" localSheetId="3" hidden="1">'Задача 4'!$D$4</definedName>
    <definedName name="solver_rhs4" localSheetId="4" hidden="1">'Задача 5'!$E$11</definedName>
    <definedName name="solver_rhs4" localSheetId="5" hidden="1">"целое"</definedName>
    <definedName name="solver_rhs5" localSheetId="0" hidden="1">40</definedName>
    <definedName name="solver_rhs5" localSheetId="1" hidden="1">30</definedName>
    <definedName name="solver_rhs5" localSheetId="2" hidden="1">5</definedName>
    <definedName name="solver_rhs5" localSheetId="3" hidden="1">'Задача 4'!$D$5</definedName>
    <definedName name="solver_rhs5" localSheetId="4" hidden="1">'Задача 5'!$F$11</definedName>
    <definedName name="solver_rhs5" localSheetId="5" hidden="1">0</definedName>
    <definedName name="solver_rhs6" localSheetId="0" hidden="1">300</definedName>
    <definedName name="solver_rhs6" localSheetId="1" hidden="1">98</definedName>
    <definedName name="solver_rhs6" localSheetId="2" hidden="1">5</definedName>
    <definedName name="solver_rhs6" localSheetId="4" hidden="1">'Задача 5'!$G$11</definedName>
    <definedName name="solver_rhs7" localSheetId="1" hidden="1">40</definedName>
    <definedName name="solver_rhs7" localSheetId="2" hidden="1">2</definedName>
    <definedName name="solver_rhs8" localSheetId="1" hidden="1">40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yp" localSheetId="0" hidden="1">1</definedName>
    <definedName name="solver_typ" localSheetId="1" hidden="1">1</definedName>
    <definedName name="solver_typ" localSheetId="2" hidden="1">2</definedName>
    <definedName name="solver_typ" localSheetId="3" hidden="1">1</definedName>
    <definedName name="solver_typ" localSheetId="4" hidden="1">1</definedName>
    <definedName name="solver_typ" localSheetId="5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7" l="1"/>
  <c r="D8" i="7"/>
  <c r="B8" i="7"/>
  <c r="E8" i="7"/>
  <c r="C12" i="5"/>
  <c r="B12" i="5"/>
  <c r="G9" i="5"/>
  <c r="G10" i="5"/>
  <c r="G8" i="5"/>
  <c r="F9" i="5"/>
  <c r="F10" i="5"/>
  <c r="F8" i="5"/>
  <c r="E9" i="5"/>
  <c r="E10" i="5"/>
  <c r="E8" i="5"/>
  <c r="E12" i="5" s="1"/>
  <c r="D8" i="5"/>
  <c r="D9" i="5"/>
  <c r="D10" i="5"/>
  <c r="E3" i="4"/>
  <c r="E4" i="4"/>
  <c r="E5" i="4"/>
  <c r="E6" i="4"/>
  <c r="E2" i="4"/>
  <c r="D11" i="3"/>
  <c r="F11" i="3" s="1"/>
  <c r="D10" i="3"/>
  <c r="F10" i="3" s="1"/>
  <c r="D9" i="3"/>
  <c r="D8" i="3"/>
  <c r="F8" i="3" s="1"/>
  <c r="D7" i="3"/>
  <c r="F7" i="3" s="1"/>
  <c r="D6" i="3"/>
  <c r="D5" i="3"/>
  <c r="D4" i="3"/>
  <c r="D3" i="3"/>
  <c r="F3" i="3" s="1"/>
  <c r="F5" i="3"/>
  <c r="F6" i="3"/>
  <c r="F4" i="3"/>
  <c r="F9" i="3"/>
  <c r="F2" i="3"/>
  <c r="D2" i="3"/>
  <c r="E9" i="2"/>
  <c r="E10" i="2"/>
  <c r="E8" i="2"/>
  <c r="C9" i="2"/>
  <c r="C10" i="2"/>
  <c r="C8" i="2"/>
  <c r="D9" i="2"/>
  <c r="D10" i="2"/>
  <c r="D8" i="2"/>
  <c r="D11" i="2" s="1"/>
  <c r="B11" i="2"/>
  <c r="D12" i="1"/>
  <c r="D13" i="1"/>
  <c r="D11" i="1"/>
  <c r="B14" i="1"/>
  <c r="G12" i="5" l="1"/>
  <c r="D12" i="5"/>
  <c r="F12" i="5"/>
  <c r="F12" i="3"/>
  <c r="E11" i="2"/>
  <c r="D14" i="1"/>
  <c r="C11" i="2"/>
</calcChain>
</file>

<file path=xl/sharedStrings.xml><?xml version="1.0" encoding="utf-8"?>
<sst xmlns="http://schemas.openxmlformats.org/spreadsheetml/2006/main" count="98" uniqueCount="71">
  <si>
    <t>Количество</t>
  </si>
  <si>
    <t>Прибыль на 1 шт</t>
  </si>
  <si>
    <t>Доход</t>
  </si>
  <si>
    <t>Изделие А</t>
  </si>
  <si>
    <t>Изделие В</t>
  </si>
  <si>
    <t>Изделие С</t>
  </si>
  <si>
    <t>Всего</t>
  </si>
  <si>
    <t>Задача 1</t>
  </si>
  <si>
    <t>Исходные данные:</t>
  </si>
  <si>
    <t>Решение:</t>
  </si>
  <si>
    <t>А ≥ 50</t>
  </si>
  <si>
    <t>В ≥ 40</t>
  </si>
  <si>
    <t>С ≤ 40</t>
  </si>
  <si>
    <t>Условие задачи:</t>
  </si>
  <si>
    <t>Общий объём = 300 изделий</t>
  </si>
  <si>
    <t>Наименование изделия</t>
  </si>
  <si>
    <t>Время на 1 единицу</t>
  </si>
  <si>
    <t>Расход сырья на 1 единицу</t>
  </si>
  <si>
    <t>Доход на 1 единицу</t>
  </si>
  <si>
    <t>Расход сырья</t>
  </si>
  <si>
    <t>Время</t>
  </si>
  <si>
    <t>Всего:</t>
  </si>
  <si>
    <t>Должность</t>
  </si>
  <si>
    <t>Коэффициент А</t>
  </si>
  <si>
    <t>Коэффициент В</t>
  </si>
  <si>
    <t>Зарплата сотрудника</t>
  </si>
  <si>
    <t>Количество сотрудников</t>
  </si>
  <si>
    <t>Зарплата всего</t>
  </si>
  <si>
    <t>Аналитик бизнес-процессов</t>
  </si>
  <si>
    <t>Функциональный аналитик</t>
  </si>
  <si>
    <t>Менеджер проектов</t>
  </si>
  <si>
    <t>Программист</t>
  </si>
  <si>
    <t xml:space="preserve">Инженер по технической </t>
  </si>
  <si>
    <t>Юрист</t>
  </si>
  <si>
    <t>Бухгалтер</t>
  </si>
  <si>
    <t>Начальник отдела</t>
  </si>
  <si>
    <t>Технический директор</t>
  </si>
  <si>
    <t>Генеральный директор</t>
  </si>
  <si>
    <t>Фонд заработной платы</t>
  </si>
  <si>
    <t>Зарплата программиста</t>
  </si>
  <si>
    <t>ресурс 1</t>
  </si>
  <si>
    <t>ресурс 2</t>
  </si>
  <si>
    <t>ресурс 3</t>
  </si>
  <si>
    <t>ресурс 4</t>
  </si>
  <si>
    <t>Цена</t>
  </si>
  <si>
    <t>План</t>
  </si>
  <si>
    <t>товар А</t>
  </si>
  <si>
    <t>товар Б</t>
  </si>
  <si>
    <t>Запас</t>
  </si>
  <si>
    <t>Использовано</t>
  </si>
  <si>
    <t>Доход=</t>
  </si>
  <si>
    <t xml:space="preserve"> ограничение на неизвестных</t>
  </si>
  <si>
    <t xml:space="preserve"> неизвестные (План)</t>
  </si>
  <si>
    <t>целевая функция (Доход)</t>
  </si>
  <si>
    <t>Расход на 1 единицу</t>
  </si>
  <si>
    <t>Стереосистема</t>
  </si>
  <si>
    <t>Телевизор</t>
  </si>
  <si>
    <t>Акустическая система</t>
  </si>
  <si>
    <t>Кинескоп</t>
  </si>
  <si>
    <t>Динамик</t>
  </si>
  <si>
    <t>Блок питания</t>
  </si>
  <si>
    <t>Плата</t>
  </si>
  <si>
    <t>Акустическая</t>
  </si>
  <si>
    <t>Итого</t>
  </si>
  <si>
    <t>Прибыль</t>
  </si>
  <si>
    <t>Вариант</t>
  </si>
  <si>
    <t xml:space="preserve">5 м </t>
  </si>
  <si>
    <t>4 м</t>
  </si>
  <si>
    <t>3 м</t>
  </si>
  <si>
    <t>Количество досок</t>
  </si>
  <si>
    <t>Необходимо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</si>
</sst>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rgb="FF0F1115"/>
      <name val="Segoe U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textRotation="90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53977-2A2E-450D-97D5-3ADF7C94F053}">
  <dimension ref="A1:F14"/>
  <sheetViews>
    <sheetView topLeftCell="B1" workbookViewId="0">
      <selection activeCell="F13" sqref="F13"/>
    </sheetView>
  </sheetViews>
  <sheetFormatPr defaultRowHeight="14.4" x14ac:dyDescent="0.3"/>
  <cols>
    <col min="1" max="1" width="11.6640625" customWidth="1"/>
    <col min="2" max="2" width="18.5546875" customWidth="1"/>
    <col min="3" max="3" width="18.109375" customWidth="1"/>
    <col min="6" max="6" width="27.21875" customWidth="1"/>
  </cols>
  <sheetData>
    <row r="1" spans="1:6" x14ac:dyDescent="0.3">
      <c r="A1" t="s">
        <v>7</v>
      </c>
      <c r="B1" t="s">
        <v>8</v>
      </c>
      <c r="F1" t="s">
        <v>13</v>
      </c>
    </row>
    <row r="2" spans="1:6" ht="15" x14ac:dyDescent="0.3">
      <c r="B2" t="s">
        <v>0</v>
      </c>
      <c r="C2" t="s">
        <v>1</v>
      </c>
      <c r="D2" t="s">
        <v>2</v>
      </c>
      <c r="F2" s="1"/>
    </row>
    <row r="3" spans="1:6" x14ac:dyDescent="0.3">
      <c r="A3" t="s">
        <v>3</v>
      </c>
      <c r="B3">
        <v>100</v>
      </c>
      <c r="C3">
        <v>13</v>
      </c>
      <c r="D3">
        <v>1300</v>
      </c>
      <c r="F3" t="s">
        <v>14</v>
      </c>
    </row>
    <row r="4" spans="1:6" ht="15" x14ac:dyDescent="0.3">
      <c r="A4" t="s">
        <v>4</v>
      </c>
      <c r="B4">
        <v>100</v>
      </c>
      <c r="C4">
        <v>18</v>
      </c>
      <c r="D4">
        <v>1800</v>
      </c>
      <c r="F4" s="1" t="s">
        <v>10</v>
      </c>
    </row>
    <row r="5" spans="1:6" ht="15" x14ac:dyDescent="0.3">
      <c r="A5" t="s">
        <v>5</v>
      </c>
      <c r="B5">
        <v>100</v>
      </c>
      <c r="C5">
        <v>22</v>
      </c>
      <c r="D5">
        <v>2200</v>
      </c>
      <c r="F5" s="1" t="s">
        <v>11</v>
      </c>
    </row>
    <row r="6" spans="1:6" ht="15" x14ac:dyDescent="0.3">
      <c r="A6" t="s">
        <v>6</v>
      </c>
      <c r="B6">
        <v>300</v>
      </c>
      <c r="D6">
        <v>5300</v>
      </c>
      <c r="F6" s="1" t="s">
        <v>12</v>
      </c>
    </row>
    <row r="8" spans="1:6" x14ac:dyDescent="0.3">
      <c r="A8" t="s">
        <v>9</v>
      </c>
    </row>
    <row r="10" spans="1:6" x14ac:dyDescent="0.3">
      <c r="B10" t="s">
        <v>0</v>
      </c>
      <c r="C10" t="s">
        <v>1</v>
      </c>
      <c r="D10" t="s">
        <v>2</v>
      </c>
    </row>
    <row r="11" spans="1:6" x14ac:dyDescent="0.3">
      <c r="A11" t="s">
        <v>3</v>
      </c>
      <c r="B11">
        <v>50</v>
      </c>
      <c r="C11">
        <v>13</v>
      </c>
      <c r="D11">
        <f>B11*C11</f>
        <v>650</v>
      </c>
    </row>
    <row r="12" spans="1:6" x14ac:dyDescent="0.3">
      <c r="A12" t="s">
        <v>4</v>
      </c>
      <c r="B12">
        <v>210</v>
      </c>
      <c r="C12">
        <v>18</v>
      </c>
      <c r="D12">
        <f t="shared" ref="D12:D13" si="0">B12*C12</f>
        <v>3780</v>
      </c>
    </row>
    <row r="13" spans="1:6" x14ac:dyDescent="0.3">
      <c r="A13" t="s">
        <v>5</v>
      </c>
      <c r="B13">
        <v>40</v>
      </c>
      <c r="C13">
        <v>22</v>
      </c>
      <c r="D13">
        <f t="shared" si="0"/>
        <v>880</v>
      </c>
    </row>
    <row r="14" spans="1:6" x14ac:dyDescent="0.3">
      <c r="A14" t="s">
        <v>6</v>
      </c>
      <c r="B14">
        <f>SUM(B11:B13)</f>
        <v>300</v>
      </c>
      <c r="D14">
        <f>SUM(D11:D13)</f>
        <v>5310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A16A2-105F-4054-81D0-01FBA5270945}">
  <dimension ref="A1:E11"/>
  <sheetViews>
    <sheetView workbookViewId="0">
      <selection activeCell="E11" sqref="E11"/>
    </sheetView>
  </sheetViews>
  <sheetFormatPr defaultRowHeight="14.4" x14ac:dyDescent="0.3"/>
  <cols>
    <col min="1" max="1" width="21.21875" customWidth="1"/>
    <col min="2" max="2" width="17.88671875" customWidth="1"/>
    <col min="3" max="3" width="24.109375" customWidth="1"/>
    <col min="4" max="4" width="17.6640625" customWidth="1"/>
  </cols>
  <sheetData>
    <row r="1" spans="1:5" x14ac:dyDescent="0.3">
      <c r="A1" t="s">
        <v>15</v>
      </c>
      <c r="B1" t="s">
        <v>16</v>
      </c>
      <c r="C1" t="s">
        <v>17</v>
      </c>
      <c r="D1" t="s">
        <v>18</v>
      </c>
    </row>
    <row r="2" spans="1:5" x14ac:dyDescent="0.3">
      <c r="A2" t="s">
        <v>3</v>
      </c>
      <c r="B2">
        <v>1.2</v>
      </c>
      <c r="C2">
        <v>3</v>
      </c>
      <c r="D2">
        <v>15</v>
      </c>
    </row>
    <row r="3" spans="1:5" x14ac:dyDescent="0.3">
      <c r="A3" t="s">
        <v>4</v>
      </c>
      <c r="B3">
        <v>0.6</v>
      </c>
      <c r="C3">
        <v>2</v>
      </c>
      <c r="D3">
        <v>10</v>
      </c>
    </row>
    <row r="4" spans="1:5" x14ac:dyDescent="0.3">
      <c r="A4" t="s">
        <v>5</v>
      </c>
      <c r="B4">
        <v>0.8</v>
      </c>
      <c r="C4">
        <v>1</v>
      </c>
      <c r="D4">
        <v>12</v>
      </c>
    </row>
    <row r="7" spans="1:5" x14ac:dyDescent="0.3">
      <c r="A7" t="s">
        <v>15</v>
      </c>
      <c r="B7" t="s">
        <v>0</v>
      </c>
      <c r="C7" t="s">
        <v>19</v>
      </c>
      <c r="D7" t="s">
        <v>20</v>
      </c>
      <c r="E7" t="s">
        <v>2</v>
      </c>
    </row>
    <row r="8" spans="1:5" x14ac:dyDescent="0.3">
      <c r="A8" t="s">
        <v>3</v>
      </c>
      <c r="B8">
        <v>3</v>
      </c>
      <c r="C8">
        <f>C2*B8</f>
        <v>9</v>
      </c>
      <c r="D8">
        <f>B8*B2</f>
        <v>3.5999999999999996</v>
      </c>
      <c r="E8">
        <f>D2*B8</f>
        <v>45</v>
      </c>
    </row>
    <row r="9" spans="1:5" x14ac:dyDescent="0.3">
      <c r="A9" t="s">
        <v>4</v>
      </c>
      <c r="B9">
        <v>30</v>
      </c>
      <c r="C9">
        <f t="shared" ref="C9:C10" si="0">C3*B9</f>
        <v>60</v>
      </c>
      <c r="D9">
        <f t="shared" ref="D9:D10" si="1">B9*B3</f>
        <v>18</v>
      </c>
      <c r="E9">
        <f t="shared" ref="E9:E10" si="2">D3*B9</f>
        <v>300</v>
      </c>
    </row>
    <row r="10" spans="1:5" x14ac:dyDescent="0.3">
      <c r="A10" t="s">
        <v>5</v>
      </c>
      <c r="B10">
        <v>23</v>
      </c>
      <c r="C10">
        <f t="shared" si="0"/>
        <v>23</v>
      </c>
      <c r="D10">
        <f t="shared" si="1"/>
        <v>18.400000000000002</v>
      </c>
      <c r="E10">
        <f t="shared" si="2"/>
        <v>276</v>
      </c>
    </row>
    <row r="11" spans="1:5" x14ac:dyDescent="0.3">
      <c r="A11" t="s">
        <v>21</v>
      </c>
      <c r="B11">
        <f>SUM(B8:B10)</f>
        <v>56</v>
      </c>
      <c r="C11">
        <f>SUM(C8:C10)</f>
        <v>92</v>
      </c>
      <c r="D11">
        <f>SUM(D8:D10)</f>
        <v>40</v>
      </c>
      <c r="E11">
        <f>SUM(E8:E10)</f>
        <v>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AAD9-FD88-4B4D-8B3D-4747C22A510E}">
  <dimension ref="A1:F15"/>
  <sheetViews>
    <sheetView workbookViewId="0">
      <selection activeCell="C6" sqref="C6"/>
    </sheetView>
  </sheetViews>
  <sheetFormatPr defaultRowHeight="14.4" x14ac:dyDescent="0.3"/>
  <cols>
    <col min="1" max="1" width="25.21875" customWidth="1"/>
  </cols>
  <sheetData>
    <row r="1" spans="1:6" ht="123" x14ac:dyDescent="0.3">
      <c r="A1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</row>
    <row r="2" spans="1:6" x14ac:dyDescent="0.3">
      <c r="A2" t="s">
        <v>28</v>
      </c>
      <c r="B2">
        <v>2</v>
      </c>
      <c r="C2">
        <v>0</v>
      </c>
      <c r="D2">
        <f>C15*B2+C2</f>
        <v>6000</v>
      </c>
      <c r="E2">
        <v>1</v>
      </c>
      <c r="F2">
        <f>D2*E2</f>
        <v>6000</v>
      </c>
    </row>
    <row r="3" spans="1:6" x14ac:dyDescent="0.3">
      <c r="A3" t="s">
        <v>29</v>
      </c>
      <c r="B3">
        <v>1.5</v>
      </c>
      <c r="C3">
        <v>0</v>
      </c>
      <c r="D3">
        <f>C15*B3+C3</f>
        <v>4500</v>
      </c>
      <c r="E3">
        <v>2</v>
      </c>
      <c r="F3">
        <f t="shared" ref="F3:F11" si="0">D3*E3</f>
        <v>9000</v>
      </c>
    </row>
    <row r="4" spans="1:6" x14ac:dyDescent="0.3">
      <c r="A4" t="s">
        <v>30</v>
      </c>
      <c r="B4">
        <v>1.5</v>
      </c>
      <c r="C4">
        <v>0</v>
      </c>
      <c r="D4">
        <f>C15*B4+C4</f>
        <v>4500</v>
      </c>
      <c r="E4" s="4">
        <v>3</v>
      </c>
      <c r="F4">
        <f t="shared" si="0"/>
        <v>13500</v>
      </c>
    </row>
    <row r="5" spans="1:6" x14ac:dyDescent="0.3">
      <c r="A5" t="s">
        <v>31</v>
      </c>
      <c r="B5">
        <v>1</v>
      </c>
      <c r="C5">
        <v>2000</v>
      </c>
      <c r="D5">
        <f>C15*B5+C5</f>
        <v>5000</v>
      </c>
      <c r="E5" s="4">
        <v>5</v>
      </c>
      <c r="F5">
        <f t="shared" si="0"/>
        <v>25000</v>
      </c>
    </row>
    <row r="6" spans="1:6" x14ac:dyDescent="0.3">
      <c r="A6" t="s">
        <v>32</v>
      </c>
      <c r="B6">
        <v>1.5</v>
      </c>
      <c r="C6">
        <v>0</v>
      </c>
      <c r="D6">
        <f>C15*B6+C6</f>
        <v>4500</v>
      </c>
      <c r="E6">
        <v>1</v>
      </c>
      <c r="F6">
        <f t="shared" si="0"/>
        <v>4500</v>
      </c>
    </row>
    <row r="7" spans="1:6" x14ac:dyDescent="0.3">
      <c r="A7" t="s">
        <v>33</v>
      </c>
      <c r="B7">
        <v>3</v>
      </c>
      <c r="C7">
        <v>500</v>
      </c>
      <c r="D7">
        <f>C15*B7+C7</f>
        <v>9500</v>
      </c>
      <c r="E7">
        <v>2</v>
      </c>
      <c r="F7">
        <f t="shared" si="0"/>
        <v>19000</v>
      </c>
    </row>
    <row r="8" spans="1:6" x14ac:dyDescent="0.3">
      <c r="A8" t="s">
        <v>34</v>
      </c>
      <c r="B8">
        <v>3.5</v>
      </c>
      <c r="C8">
        <v>1000</v>
      </c>
      <c r="D8">
        <f>C15*B8+C8</f>
        <v>11500</v>
      </c>
      <c r="E8">
        <v>1</v>
      </c>
      <c r="F8">
        <f t="shared" si="0"/>
        <v>11500</v>
      </c>
    </row>
    <row r="9" spans="1:6" x14ac:dyDescent="0.3">
      <c r="A9" t="s">
        <v>35</v>
      </c>
      <c r="B9">
        <v>4</v>
      </c>
      <c r="C9">
        <v>1000</v>
      </c>
      <c r="D9">
        <f>C15*B9+C9</f>
        <v>13000</v>
      </c>
      <c r="E9" s="4">
        <v>2</v>
      </c>
      <c r="F9">
        <f t="shared" si="0"/>
        <v>26000</v>
      </c>
    </row>
    <row r="10" spans="1:6" x14ac:dyDescent="0.3">
      <c r="A10" t="s">
        <v>36</v>
      </c>
      <c r="B10">
        <v>5</v>
      </c>
      <c r="C10">
        <v>1500</v>
      </c>
      <c r="D10">
        <f>C15*B10+C10</f>
        <v>16500</v>
      </c>
      <c r="E10">
        <v>1</v>
      </c>
      <c r="F10">
        <f t="shared" si="0"/>
        <v>16500</v>
      </c>
    </row>
    <row r="11" spans="1:6" x14ac:dyDescent="0.3">
      <c r="A11" t="s">
        <v>37</v>
      </c>
      <c r="B11">
        <v>6</v>
      </c>
      <c r="C11">
        <v>2000</v>
      </c>
      <c r="D11">
        <f>C15*B11+C11</f>
        <v>20000</v>
      </c>
      <c r="E11">
        <v>1</v>
      </c>
      <c r="F11">
        <f t="shared" si="0"/>
        <v>20000</v>
      </c>
    </row>
    <row r="12" spans="1:6" x14ac:dyDescent="0.3">
      <c r="B12" s="3" t="s">
        <v>38</v>
      </c>
      <c r="C12" s="3"/>
      <c r="D12" s="3"/>
      <c r="E12" s="3"/>
      <c r="F12" s="4">
        <f>SUM(SUM(F2:F11))</f>
        <v>151000</v>
      </c>
    </row>
    <row r="15" spans="1:6" x14ac:dyDescent="0.3">
      <c r="A15" s="3" t="s">
        <v>39</v>
      </c>
      <c r="B15" s="3"/>
      <c r="C15" s="4">
        <v>3000</v>
      </c>
    </row>
  </sheetData>
  <mergeCells count="2">
    <mergeCell ref="B12:E12"/>
    <mergeCell ref="A15:B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0F7A-24B5-4D68-BDA8-939763F82EBE}">
  <dimension ref="A1:H7"/>
  <sheetViews>
    <sheetView topLeftCell="B1" workbookViewId="0">
      <selection activeCell="E8" sqref="E8"/>
    </sheetView>
  </sheetViews>
  <sheetFormatPr defaultRowHeight="14.4" x14ac:dyDescent="0.3"/>
  <cols>
    <col min="5" max="5" width="13.5546875" bestFit="1" customWidth="1"/>
  </cols>
  <sheetData>
    <row r="1" spans="1:8" x14ac:dyDescent="0.3">
      <c r="B1" t="s">
        <v>46</v>
      </c>
      <c r="C1" t="s">
        <v>47</v>
      </c>
      <c r="D1" s="6" t="s">
        <v>48</v>
      </c>
      <c r="E1" t="s">
        <v>49</v>
      </c>
      <c r="G1" s="4"/>
      <c r="H1" t="s">
        <v>52</v>
      </c>
    </row>
    <row r="2" spans="1:8" x14ac:dyDescent="0.3">
      <c r="A2" t="s">
        <v>40</v>
      </c>
      <c r="B2">
        <v>0.5</v>
      </c>
      <c r="C2">
        <v>0.4</v>
      </c>
      <c r="D2" s="5">
        <v>120</v>
      </c>
      <c r="E2" s="7">
        <f>B2*$B$7+C2*$C$7</f>
        <v>57.142857142857146</v>
      </c>
    </row>
    <row r="3" spans="1:8" x14ac:dyDescent="0.3">
      <c r="A3" t="s">
        <v>41</v>
      </c>
      <c r="B3">
        <v>1</v>
      </c>
      <c r="C3">
        <v>2</v>
      </c>
      <c r="D3" s="5">
        <v>200</v>
      </c>
      <c r="E3" s="7">
        <f t="shared" ref="E3:E6" si="0">B3*$B$7+C3*$C$7</f>
        <v>200</v>
      </c>
      <c r="G3" s="5"/>
      <c r="H3" t="s">
        <v>51</v>
      </c>
    </row>
    <row r="4" spans="1:8" x14ac:dyDescent="0.3">
      <c r="A4" t="s">
        <v>42</v>
      </c>
      <c r="B4">
        <v>1.7</v>
      </c>
      <c r="C4">
        <v>2</v>
      </c>
      <c r="D4" s="5">
        <v>240</v>
      </c>
      <c r="E4" s="7">
        <f t="shared" si="0"/>
        <v>240</v>
      </c>
    </row>
    <row r="5" spans="1:8" x14ac:dyDescent="0.3">
      <c r="A5" t="s">
        <v>43</v>
      </c>
      <c r="B5">
        <v>0.05</v>
      </c>
      <c r="C5">
        <v>0.04</v>
      </c>
      <c r="D5" s="5">
        <v>70</v>
      </c>
      <c r="E5" s="7">
        <f t="shared" si="0"/>
        <v>5.7142857142857153</v>
      </c>
      <c r="G5" s="8"/>
      <c r="H5" t="s">
        <v>53</v>
      </c>
    </row>
    <row r="6" spans="1:8" x14ac:dyDescent="0.3">
      <c r="A6" t="s">
        <v>44</v>
      </c>
      <c r="B6">
        <v>1.1499999999999999</v>
      </c>
      <c r="C6">
        <v>1.44</v>
      </c>
      <c r="D6" t="s">
        <v>50</v>
      </c>
      <c r="E6" s="8">
        <f t="shared" si="0"/>
        <v>168.57142857142856</v>
      </c>
    </row>
    <row r="7" spans="1:8" x14ac:dyDescent="0.3">
      <c r="A7" t="s">
        <v>45</v>
      </c>
      <c r="B7" s="4">
        <v>57.142857142857146</v>
      </c>
      <c r="C7" s="4">
        <v>71.428571428571431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D582-F012-43E2-839C-A7DDC924C8D6}">
  <dimension ref="A1:G12"/>
  <sheetViews>
    <sheetView tabSelected="1" workbookViewId="0">
      <selection activeCell="C8" sqref="C8"/>
    </sheetView>
  </sheetViews>
  <sheetFormatPr defaultRowHeight="14.4" x14ac:dyDescent="0.3"/>
  <cols>
    <col min="1" max="1" width="21.5546875" customWidth="1"/>
    <col min="3" max="3" width="12" customWidth="1"/>
    <col min="4" max="4" width="13.21875" customWidth="1"/>
    <col min="6" max="6" width="12.44140625" customWidth="1"/>
  </cols>
  <sheetData>
    <row r="1" spans="1:7" x14ac:dyDescent="0.3">
      <c r="A1" s="3" t="s">
        <v>15</v>
      </c>
      <c r="B1" s="3" t="s">
        <v>54</v>
      </c>
      <c r="C1" s="3"/>
      <c r="D1" s="3"/>
      <c r="E1" s="3"/>
    </row>
    <row r="2" spans="1:7" x14ac:dyDescent="0.3">
      <c r="A2" s="3"/>
      <c r="B2" t="s">
        <v>58</v>
      </c>
      <c r="C2" t="s">
        <v>59</v>
      </c>
      <c r="D2" t="s">
        <v>60</v>
      </c>
      <c r="E2" t="s">
        <v>61</v>
      </c>
    </row>
    <row r="3" spans="1:7" x14ac:dyDescent="0.3">
      <c r="A3" t="s">
        <v>55</v>
      </c>
      <c r="B3">
        <v>0</v>
      </c>
      <c r="C3">
        <v>2</v>
      </c>
      <c r="D3">
        <v>1</v>
      </c>
      <c r="E3">
        <v>6</v>
      </c>
    </row>
    <row r="4" spans="1:7" x14ac:dyDescent="0.3">
      <c r="A4" t="s">
        <v>56</v>
      </c>
      <c r="B4">
        <v>1</v>
      </c>
      <c r="C4">
        <v>2</v>
      </c>
      <c r="D4">
        <v>2</v>
      </c>
      <c r="E4">
        <v>8</v>
      </c>
    </row>
    <row r="5" spans="1:7" x14ac:dyDescent="0.3">
      <c r="A5" t="s">
        <v>57</v>
      </c>
      <c r="B5">
        <v>0</v>
      </c>
      <c r="C5">
        <v>5</v>
      </c>
      <c r="D5">
        <v>2</v>
      </c>
      <c r="E5">
        <v>4</v>
      </c>
    </row>
    <row r="7" spans="1:7" x14ac:dyDescent="0.3">
      <c r="A7" t="s">
        <v>15</v>
      </c>
      <c r="B7" t="s">
        <v>64</v>
      </c>
      <c r="C7" t="s">
        <v>0</v>
      </c>
      <c r="D7" t="s">
        <v>58</v>
      </c>
      <c r="E7" t="s">
        <v>59</v>
      </c>
      <c r="F7" t="s">
        <v>60</v>
      </c>
      <c r="G7" t="s">
        <v>61</v>
      </c>
    </row>
    <row r="8" spans="1:7" x14ac:dyDescent="0.3">
      <c r="A8" t="s">
        <v>55</v>
      </c>
      <c r="B8">
        <v>50</v>
      </c>
      <c r="C8">
        <v>0</v>
      </c>
      <c r="D8">
        <f>C8*B3</f>
        <v>0</v>
      </c>
      <c r="E8">
        <f>C8*C3</f>
        <v>0</v>
      </c>
      <c r="F8">
        <f>C8*D3</f>
        <v>0</v>
      </c>
      <c r="G8">
        <f>C8*E3</f>
        <v>0</v>
      </c>
    </row>
    <row r="9" spans="1:7" x14ac:dyDescent="0.3">
      <c r="A9" t="s">
        <v>56</v>
      </c>
      <c r="B9">
        <v>90</v>
      </c>
      <c r="C9">
        <v>75</v>
      </c>
      <c r="D9">
        <f t="shared" ref="D9:D10" si="0">C9*B4</f>
        <v>75</v>
      </c>
      <c r="E9">
        <f t="shared" ref="E9:E10" si="1">C9*C4</f>
        <v>150</v>
      </c>
      <c r="F9">
        <f t="shared" ref="F9:F10" si="2">C9*D4</f>
        <v>150</v>
      </c>
      <c r="G9">
        <f t="shared" ref="G9:G10" si="3">C9*E4</f>
        <v>600</v>
      </c>
    </row>
    <row r="10" spans="1:7" x14ac:dyDescent="0.3">
      <c r="A10" t="s">
        <v>62</v>
      </c>
      <c r="B10">
        <v>45</v>
      </c>
      <c r="C10">
        <v>0</v>
      </c>
      <c r="D10">
        <f t="shared" si="0"/>
        <v>0</v>
      </c>
      <c r="E10">
        <f t="shared" si="1"/>
        <v>0</v>
      </c>
      <c r="F10">
        <f t="shared" si="2"/>
        <v>0</v>
      </c>
      <c r="G10">
        <f t="shared" si="3"/>
        <v>0</v>
      </c>
    </row>
    <row r="11" spans="1:7" x14ac:dyDescent="0.3">
      <c r="A11" t="s">
        <v>48</v>
      </c>
      <c r="D11">
        <v>250</v>
      </c>
      <c r="E11">
        <v>800</v>
      </c>
      <c r="F11">
        <v>450</v>
      </c>
      <c r="G11">
        <v>600</v>
      </c>
    </row>
    <row r="12" spans="1:7" x14ac:dyDescent="0.3">
      <c r="A12" t="s">
        <v>49</v>
      </c>
      <c r="B12">
        <f>SUMPRODUCT(B8:B10,C8:C10)</f>
        <v>6750</v>
      </c>
      <c r="C12">
        <f>SUM(C8:C10)</f>
        <v>75</v>
      </c>
      <c r="D12">
        <f t="shared" ref="D12:G12" si="4">SUM(D8:D10)</f>
        <v>75</v>
      </c>
      <c r="E12">
        <f t="shared" si="4"/>
        <v>150</v>
      </c>
      <c r="F12">
        <f t="shared" si="4"/>
        <v>150</v>
      </c>
      <c r="G12">
        <f t="shared" si="4"/>
        <v>600</v>
      </c>
    </row>
  </sheetData>
  <mergeCells count="2">
    <mergeCell ref="B1:E1"/>
    <mergeCell ref="A1: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AE06-AD27-462E-BD4B-AE92D83B6352}">
  <dimension ref="A1:E9"/>
  <sheetViews>
    <sheetView workbookViewId="0">
      <selection activeCell="G12" sqref="G12"/>
    </sheetView>
  </sheetViews>
  <sheetFormatPr defaultRowHeight="14.4" x14ac:dyDescent="0.3"/>
  <cols>
    <col min="1" max="1" width="12.88671875" customWidth="1"/>
    <col min="5" max="5" width="16.6640625" customWidth="1"/>
  </cols>
  <sheetData>
    <row r="1" spans="1:5" x14ac:dyDescent="0.3">
      <c r="A1" t="s">
        <v>65</v>
      </c>
      <c r="B1" t="s">
        <v>66</v>
      </c>
      <c r="C1" t="s">
        <v>67</v>
      </c>
      <c r="D1" t="s">
        <v>68</v>
      </c>
      <c r="E1" t="s">
        <v>69</v>
      </c>
    </row>
    <row r="2" spans="1:5" x14ac:dyDescent="0.3">
      <c r="A2">
        <v>1</v>
      </c>
      <c r="B2">
        <v>2</v>
      </c>
      <c r="C2">
        <v>0</v>
      </c>
      <c r="D2">
        <v>0</v>
      </c>
      <c r="E2">
        <v>25</v>
      </c>
    </row>
    <row r="3" spans="1:5" x14ac:dyDescent="0.3">
      <c r="A3">
        <v>2</v>
      </c>
      <c r="B3">
        <v>1</v>
      </c>
      <c r="C3">
        <v>1</v>
      </c>
      <c r="D3">
        <v>0</v>
      </c>
      <c r="E3">
        <v>50</v>
      </c>
    </row>
    <row r="4" spans="1:5" x14ac:dyDescent="0.3">
      <c r="A4">
        <v>3</v>
      </c>
      <c r="B4">
        <v>1</v>
      </c>
      <c r="C4">
        <v>0</v>
      </c>
      <c r="D4">
        <v>1</v>
      </c>
      <c r="E4">
        <v>0</v>
      </c>
    </row>
    <row r="5" spans="1:5" x14ac:dyDescent="0.3">
      <c r="A5">
        <v>4</v>
      </c>
      <c r="B5">
        <v>0</v>
      </c>
      <c r="C5">
        <v>2</v>
      </c>
      <c r="D5">
        <v>0</v>
      </c>
      <c r="E5">
        <v>0</v>
      </c>
    </row>
    <row r="6" spans="1:5" x14ac:dyDescent="0.3">
      <c r="A6">
        <v>5</v>
      </c>
      <c r="B6">
        <v>0</v>
      </c>
      <c r="C6">
        <v>1</v>
      </c>
      <c r="D6">
        <v>2</v>
      </c>
      <c r="E6">
        <v>150</v>
      </c>
    </row>
    <row r="7" spans="1:5" x14ac:dyDescent="0.3">
      <c r="A7">
        <v>6</v>
      </c>
      <c r="B7">
        <v>0</v>
      </c>
      <c r="C7">
        <v>0</v>
      </c>
      <c r="D7">
        <v>3</v>
      </c>
      <c r="E7">
        <v>0</v>
      </c>
    </row>
    <row r="8" spans="1:5" x14ac:dyDescent="0.3">
      <c r="A8" t="s">
        <v>63</v>
      </c>
      <c r="B8">
        <f>SUMPRODUCT(B2:B7,$E$2:$E$7)</f>
        <v>100</v>
      </c>
      <c r="C8">
        <f>SUMPRODUCT(C2:C7,$E$2:$E$7)</f>
        <v>200</v>
      </c>
      <c r="D8">
        <f>SUMPRODUCT(D2:D7,$E$2:$E$7)</f>
        <v>300</v>
      </c>
      <c r="E8">
        <f>SUM(E2:E7)</f>
        <v>225</v>
      </c>
    </row>
    <row r="9" spans="1:5" x14ac:dyDescent="0.3">
      <c r="A9" t="s">
        <v>70</v>
      </c>
      <c r="B9">
        <v>100</v>
      </c>
      <c r="C9">
        <v>200</v>
      </c>
      <c r="D9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Задача 1</vt:lpstr>
      <vt:lpstr>Задача 2</vt:lpstr>
      <vt:lpstr>Задача 3</vt:lpstr>
      <vt:lpstr>Задача 4</vt:lpstr>
      <vt:lpstr>Задача 5</vt:lpstr>
      <vt:lpstr>Задача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Ника</dc:creator>
  <cp:lastModifiedBy>Ника</cp:lastModifiedBy>
  <dcterms:created xsi:type="dcterms:W3CDTF">2026-06-17T08:20:48Z</dcterms:created>
  <dcterms:modified xsi:type="dcterms:W3CDTF">2026-06-17T10:32:34Z</dcterms:modified>
</cp:coreProperties>
</file>