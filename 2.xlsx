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2" l="1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D36" i="2"/>
  <c r="B37" i="2"/>
  <c r="C37" i="2"/>
  <c r="B38" i="2"/>
  <c r="C38" i="2"/>
  <c r="B39" i="2"/>
  <c r="C39" i="2"/>
  <c r="B40" i="2"/>
  <c r="C40" i="2"/>
  <c r="C17" i="2"/>
  <c r="B17" i="2"/>
  <c r="E18" i="2" s="1"/>
  <c r="C7" i="2"/>
  <c r="D18" i="2" s="1"/>
  <c r="A18" i="2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C34" i="1"/>
  <c r="C35" i="1" s="1"/>
  <c r="C36" i="1" s="1"/>
  <c r="C37" i="1" s="1"/>
  <c r="C38" i="1" s="1"/>
  <c r="C39" i="1" s="1"/>
  <c r="C40" i="1" s="1"/>
  <c r="C41" i="1" s="1"/>
  <c r="C42" i="1" s="1"/>
  <c r="C43" i="1" s="1"/>
  <c r="C21" i="1"/>
  <c r="C22" i="1" s="1"/>
  <c r="C23" i="1" s="1"/>
  <c r="C24" i="1" s="1"/>
  <c r="C25" i="1" s="1"/>
  <c r="C26" i="1" s="1"/>
  <c r="C27" i="1" s="1"/>
  <c r="C28" i="1" s="1"/>
  <c r="C29" i="1" s="1"/>
  <c r="C30" i="1" s="1"/>
  <c r="C15" i="1"/>
  <c r="C10" i="1"/>
  <c r="C5" i="1"/>
  <c r="D35" i="2" l="1"/>
  <c r="D40" i="2"/>
  <c r="E19" i="2"/>
  <c r="E21" i="2"/>
  <c r="D17" i="2"/>
  <c r="D21" i="2"/>
  <c r="E17" i="2"/>
  <c r="D26" i="2"/>
  <c r="E20" i="2"/>
  <c r="E25" i="2"/>
  <c r="D31" i="2"/>
  <c r="D30" i="2"/>
  <c r="D39" i="2"/>
  <c r="D34" i="2"/>
  <c r="D38" i="2"/>
  <c r="E22" i="2"/>
  <c r="E28" i="2"/>
  <c r="D20" i="2"/>
  <c r="E27" i="2"/>
  <c r="E33" i="2"/>
  <c r="D19" i="2"/>
  <c r="D28" i="2"/>
  <c r="D25" i="2"/>
  <c r="E29" i="2"/>
  <c r="D29" i="2"/>
  <c r="D24" i="2"/>
  <c r="D33" i="2"/>
  <c r="D23" i="2"/>
  <c r="E37" i="2"/>
  <c r="D37" i="2"/>
  <c r="D32" i="2"/>
  <c r="D27" i="2"/>
  <c r="D22" i="2"/>
  <c r="E40" i="2"/>
  <c r="E32" i="2"/>
  <c r="E35" i="2"/>
  <c r="E23" i="2"/>
  <c r="E36" i="2"/>
  <c r="E39" i="2"/>
  <c r="E38" i="2"/>
  <c r="E34" i="2"/>
  <c r="E30" i="2"/>
  <c r="E26" i="2"/>
  <c r="E24" i="2"/>
  <c r="E31" i="2"/>
  <c r="C11" i="2"/>
  <c r="C13" i="2" s="1"/>
</calcChain>
</file>

<file path=xl/sharedStrings.xml><?xml version="1.0" encoding="utf-8"?>
<sst xmlns="http://schemas.openxmlformats.org/spreadsheetml/2006/main" count="32" uniqueCount="21">
  <si>
    <t>Процентная ставка</t>
  </si>
  <si>
    <t>файл Расчёт платежа</t>
  </si>
  <si>
    <t>Сумма</t>
  </si>
  <si>
    <t>Срок(лет)</t>
  </si>
  <si>
    <t>выплаты</t>
  </si>
  <si>
    <t>Файл объём продаж</t>
  </si>
  <si>
    <t>Коэффициент роста</t>
  </si>
  <si>
    <t>Объём продаж в 1-й год</t>
  </si>
  <si>
    <t>Год</t>
  </si>
  <si>
    <t>Кредитный калькулятор для покупки компьютера</t>
  </si>
  <si>
    <t>Стоимость компьютера</t>
  </si>
  <si>
    <t>Годовая ставка</t>
  </si>
  <si>
    <t>Срок кредита (мес)</t>
  </si>
  <si>
    <t>Ежемесячный платёж</t>
  </si>
  <si>
    <t>Общая сумма выплат</t>
  </si>
  <si>
    <t>Переплата</t>
  </si>
  <si>
    <t>Период</t>
  </si>
  <si>
    <t>Выплата кредита</t>
  </si>
  <si>
    <t>Выплата процентов</t>
  </si>
  <si>
    <t>Общая выплата</t>
  </si>
  <si>
    <t>Осталось выплатить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</si>
</sst>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#,##0.00\ &quot;₽&quot;;[Red]\-#,##0.00\ &quot;₽&quot;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0" fontId="0" fillId="0" borderId="0" xfId="0" applyAlignmen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zoomScale="115" zoomScaleNormal="115" workbookViewId="0">
      <selection sqref="A1:C1"/>
    </sheetView>
  </sheetViews>
  <sheetFormatPr defaultRowHeight="15" x14ac:dyDescent="0.25"/>
  <cols>
    <col min="1" max="3" width="15.85546875" customWidth="1"/>
    <col min="4" max="4" width="6.5703125" customWidth="1"/>
    <col min="6" max="6" width="14.140625" customWidth="1"/>
    <col min="7" max="7" width="17.5703125" customWidth="1"/>
  </cols>
  <sheetData>
    <row r="1" spans="1:4" x14ac:dyDescent="0.25">
      <c r="A1" s="7" t="s">
        <v>1</v>
      </c>
      <c r="B1" s="7"/>
      <c r="C1" s="7"/>
      <c r="D1" s="2"/>
    </row>
    <row r="2" spans="1:4" x14ac:dyDescent="0.25">
      <c r="A2" s="5" t="s">
        <v>0</v>
      </c>
      <c r="B2" s="5"/>
      <c r="C2" s="1">
        <v>0.14000000000000001</v>
      </c>
    </row>
    <row r="3" spans="1:4" x14ac:dyDescent="0.25">
      <c r="A3" s="5" t="s">
        <v>2</v>
      </c>
      <c r="B3" s="5"/>
      <c r="C3">
        <v>1000000</v>
      </c>
    </row>
    <row r="4" spans="1:4" x14ac:dyDescent="0.25">
      <c r="A4" s="5" t="s">
        <v>3</v>
      </c>
      <c r="B4" s="5"/>
      <c r="C4">
        <v>10</v>
      </c>
    </row>
    <row r="5" spans="1:4" x14ac:dyDescent="0.25">
      <c r="A5" s="5" t="s">
        <v>4</v>
      </c>
      <c r="B5" s="5"/>
      <c r="C5" s="3">
        <f>PMT(C2/12, C4*12, -C3)</f>
        <v>15526.643504091446</v>
      </c>
    </row>
    <row r="6" spans="1:4" x14ac:dyDescent="0.25">
      <c r="A6" s="2"/>
      <c r="B6" s="2"/>
    </row>
    <row r="7" spans="1:4" x14ac:dyDescent="0.25">
      <c r="A7" s="5" t="s">
        <v>0</v>
      </c>
      <c r="B7" s="5"/>
      <c r="C7" s="1">
        <v>0.12</v>
      </c>
    </row>
    <row r="8" spans="1:4" x14ac:dyDescent="0.25">
      <c r="A8" s="5" t="s">
        <v>2</v>
      </c>
      <c r="B8" s="5"/>
      <c r="C8">
        <v>2041380.767732166</v>
      </c>
    </row>
    <row r="9" spans="1:4" x14ac:dyDescent="0.25">
      <c r="A9" s="5" t="s">
        <v>3</v>
      </c>
      <c r="B9" s="5"/>
      <c r="C9">
        <v>15</v>
      </c>
    </row>
    <row r="10" spans="1:4" x14ac:dyDescent="0.25">
      <c r="A10" s="5" t="s">
        <v>4</v>
      </c>
      <c r="B10" s="5"/>
      <c r="C10" s="3">
        <f>PMT(C7/12, C9*12, -C8)</f>
        <v>24500</v>
      </c>
    </row>
    <row r="12" spans="1:4" x14ac:dyDescent="0.25">
      <c r="A12" s="5" t="s">
        <v>0</v>
      </c>
      <c r="B12" s="5"/>
      <c r="C12" s="1">
        <v>0.12</v>
      </c>
    </row>
    <row r="13" spans="1:4" x14ac:dyDescent="0.25">
      <c r="A13" s="5" t="s">
        <v>2</v>
      </c>
      <c r="B13" s="5"/>
      <c r="C13">
        <v>100000</v>
      </c>
    </row>
    <row r="14" spans="1:4" x14ac:dyDescent="0.25">
      <c r="A14" s="5" t="s">
        <v>3</v>
      </c>
      <c r="B14" s="5"/>
      <c r="C14">
        <v>40.748903777615681</v>
      </c>
    </row>
    <row r="15" spans="1:4" x14ac:dyDescent="0.25">
      <c r="A15" s="5" t="s">
        <v>4</v>
      </c>
      <c r="B15" s="5"/>
      <c r="C15" s="3">
        <f>PMT(C12/12, C14, -C13)</f>
        <v>3000.0002017018824</v>
      </c>
    </row>
    <row r="18" spans="1:3" x14ac:dyDescent="0.25">
      <c r="A18" s="6" t="s">
        <v>5</v>
      </c>
      <c r="B18" s="6"/>
      <c r="C18" s="6"/>
    </row>
    <row r="19" spans="1:3" x14ac:dyDescent="0.25">
      <c r="A19" s="5" t="s">
        <v>6</v>
      </c>
      <c r="B19" s="5"/>
      <c r="C19">
        <v>1.6272506099343713</v>
      </c>
    </row>
    <row r="20" spans="1:3" x14ac:dyDescent="0.25">
      <c r="A20" s="5" t="s">
        <v>7</v>
      </c>
      <c r="B20" s="5"/>
      <c r="C20">
        <v>250000</v>
      </c>
    </row>
    <row r="21" spans="1:3" x14ac:dyDescent="0.25">
      <c r="A21" t="s">
        <v>8</v>
      </c>
      <c r="B21">
        <v>1</v>
      </c>
      <c r="C21">
        <f>C20</f>
        <v>250000</v>
      </c>
    </row>
    <row r="22" spans="1:3" x14ac:dyDescent="0.25">
      <c r="B22">
        <v>2</v>
      </c>
      <c r="C22">
        <f>C21*C19</f>
        <v>406812.65248359286</v>
      </c>
    </row>
    <row r="23" spans="1:3" x14ac:dyDescent="0.25">
      <c r="B23">
        <v>3</v>
      </c>
      <c r="C23">
        <f>C22*C19</f>
        <v>661986.1368829459</v>
      </c>
    </row>
    <row r="24" spans="1:3" x14ac:dyDescent="0.25">
      <c r="B24">
        <v>4</v>
      </c>
      <c r="C24">
        <f>C23*C19</f>
        <v>1077217.345010872</v>
      </c>
    </row>
    <row r="25" spans="1:3" x14ac:dyDescent="0.25">
      <c r="B25">
        <v>5</v>
      </c>
      <c r="C25">
        <f>C24*C19</f>
        <v>1752902.5817008256</v>
      </c>
    </row>
    <row r="26" spans="1:3" x14ac:dyDescent="0.25">
      <c r="B26">
        <v>6</v>
      </c>
      <c r="C26">
        <f>C25*C19</f>
        <v>2852411.7952282028</v>
      </c>
    </row>
    <row r="27" spans="1:3" x14ac:dyDescent="0.25">
      <c r="B27">
        <v>7</v>
      </c>
      <c r="C27">
        <f>C26*C19</f>
        <v>4641588.833569088</v>
      </c>
    </row>
    <row r="28" spans="1:3" x14ac:dyDescent="0.25">
      <c r="B28">
        <v>8</v>
      </c>
      <c r="C28">
        <f>C27*C19</f>
        <v>7553028.2604898652</v>
      </c>
    </row>
    <row r="29" spans="1:3" x14ac:dyDescent="0.25">
      <c r="B29">
        <v>9</v>
      </c>
      <c r="C29">
        <f>C28*C19</f>
        <v>12290669.843733678</v>
      </c>
    </row>
    <row r="30" spans="1:3" x14ac:dyDescent="0.25">
      <c r="B30">
        <v>10</v>
      </c>
      <c r="C30">
        <f>C29*C19</f>
        <v>19999999.999717612</v>
      </c>
    </row>
    <row r="32" spans="1:3" x14ac:dyDescent="0.25">
      <c r="A32" s="5" t="s">
        <v>6</v>
      </c>
      <c r="B32" s="5"/>
      <c r="C32">
        <v>1.2</v>
      </c>
    </row>
    <row r="33" spans="1:3" x14ac:dyDescent="0.25">
      <c r="A33" s="5" t="s">
        <v>7</v>
      </c>
      <c r="B33" s="5"/>
      <c r="C33">
        <v>3876133.9893562985</v>
      </c>
    </row>
    <row r="34" spans="1:3" x14ac:dyDescent="0.25">
      <c r="A34" t="s">
        <v>8</v>
      </c>
      <c r="B34">
        <v>1</v>
      </c>
      <c r="C34">
        <f>C33</f>
        <v>3876133.9893562985</v>
      </c>
    </row>
    <row r="35" spans="1:3" x14ac:dyDescent="0.25">
      <c r="B35">
        <v>2</v>
      </c>
      <c r="C35">
        <f>C34*C32</f>
        <v>4651360.787227558</v>
      </c>
    </row>
    <row r="36" spans="1:3" x14ac:dyDescent="0.25">
      <c r="B36">
        <v>3</v>
      </c>
      <c r="C36">
        <f>C35*C32</f>
        <v>5581632.9446730698</v>
      </c>
    </row>
    <row r="37" spans="1:3" x14ac:dyDescent="0.25">
      <c r="B37">
        <v>4</v>
      </c>
      <c r="C37">
        <f>C36*C32</f>
        <v>6697959.5336076831</v>
      </c>
    </row>
    <row r="38" spans="1:3" x14ac:dyDescent="0.25">
      <c r="B38">
        <v>5</v>
      </c>
      <c r="C38">
        <f>C37*C32</f>
        <v>8037551.4403292192</v>
      </c>
    </row>
    <row r="39" spans="1:3" x14ac:dyDescent="0.25">
      <c r="B39">
        <v>6</v>
      </c>
      <c r="C39">
        <f>C38*C32</f>
        <v>9645061.7283950634</v>
      </c>
    </row>
    <row r="40" spans="1:3" x14ac:dyDescent="0.25">
      <c r="B40">
        <v>7</v>
      </c>
      <c r="C40">
        <f>C39*C32</f>
        <v>11574074.074074076</v>
      </c>
    </row>
    <row r="41" spans="1:3" x14ac:dyDescent="0.25">
      <c r="B41">
        <v>8</v>
      </c>
      <c r="C41">
        <f>C40*C32</f>
        <v>13888888.888888892</v>
      </c>
    </row>
    <row r="42" spans="1:3" x14ac:dyDescent="0.25">
      <c r="B42">
        <v>9</v>
      </c>
      <c r="C42">
        <f>C41*C32</f>
        <v>16666666.66666667</v>
      </c>
    </row>
    <row r="43" spans="1:3" x14ac:dyDescent="0.25">
      <c r="B43">
        <v>10</v>
      </c>
      <c r="C43">
        <f>C42*C32</f>
        <v>20000000.000000004</v>
      </c>
    </row>
  </sheetData>
  <mergeCells count="18">
    <mergeCell ref="A1:C1"/>
    <mergeCell ref="A18:C18"/>
    <mergeCell ref="A19:B19"/>
    <mergeCell ref="A20:B20"/>
    <mergeCell ref="A32:B32"/>
    <mergeCell ref="A7:B7"/>
    <mergeCell ref="A8:B8"/>
    <mergeCell ref="A9:B9"/>
    <mergeCell ref="A10:B10"/>
    <mergeCell ref="A2:B2"/>
    <mergeCell ref="A3:B3"/>
    <mergeCell ref="A4:B4"/>
    <mergeCell ref="A5:B5"/>
    <mergeCell ref="A33:B33"/>
    <mergeCell ref="A12:B12"/>
    <mergeCell ref="A13:B13"/>
    <mergeCell ref="A14:B14"/>
    <mergeCell ref="A15:B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topLeftCell="A13" zoomScale="130" zoomScaleNormal="130" workbookViewId="0">
      <selection activeCell="G19" sqref="G19"/>
    </sheetView>
  </sheetViews>
  <sheetFormatPr defaultRowHeight="15" x14ac:dyDescent="0.25"/>
  <cols>
    <col min="1" max="7" width="18.140625" customWidth="1"/>
  </cols>
  <sheetData>
    <row r="1" spans="1:5" x14ac:dyDescent="0.25">
      <c r="A1" s="6" t="s">
        <v>9</v>
      </c>
      <c r="B1" s="6"/>
      <c r="C1" s="6"/>
      <c r="D1" s="6"/>
      <c r="E1" s="6"/>
    </row>
    <row r="3" spans="1:5" x14ac:dyDescent="0.25">
      <c r="A3" t="s">
        <v>10</v>
      </c>
      <c r="B3">
        <v>350000</v>
      </c>
    </row>
    <row r="4" spans="1:5" x14ac:dyDescent="0.25">
      <c r="A4" t="s">
        <v>11</v>
      </c>
      <c r="B4" s="4">
        <v>0.28000000000000003</v>
      </c>
    </row>
    <row r="5" spans="1:5" x14ac:dyDescent="0.25">
      <c r="A5" t="s">
        <v>12</v>
      </c>
      <c r="B5">
        <v>24</v>
      </c>
    </row>
    <row r="7" spans="1:5" x14ac:dyDescent="0.25">
      <c r="A7" s="5" t="s">
        <v>13</v>
      </c>
      <c r="B7" s="5"/>
      <c r="C7" s="3">
        <f>-PMT(B4/12,B5,B3,0,0)</f>
        <v>19210.9741597231</v>
      </c>
    </row>
    <row r="11" spans="1:5" x14ac:dyDescent="0.25">
      <c r="A11" s="5" t="s">
        <v>14</v>
      </c>
      <c r="B11" s="5"/>
      <c r="C11" s="3">
        <f>C7*B5</f>
        <v>461063.37983335438</v>
      </c>
    </row>
    <row r="13" spans="1:5" x14ac:dyDescent="0.25">
      <c r="A13" s="5" t="s">
        <v>15</v>
      </c>
      <c r="B13" s="5"/>
      <c r="C13" s="3">
        <f>C11-B3</f>
        <v>111063.37983335438</v>
      </c>
    </row>
    <row r="16" spans="1:5" x14ac:dyDescent="0.25">
      <c r="A16" s="8" t="s">
        <v>16</v>
      </c>
      <c r="B16" s="8" t="s">
        <v>17</v>
      </c>
      <c r="C16" s="8" t="s">
        <v>18</v>
      </c>
      <c r="D16" s="8" t="s">
        <v>19</v>
      </c>
      <c r="E16" s="8" t="s">
        <v>20</v>
      </c>
    </row>
    <row r="17" spans="1:5" x14ac:dyDescent="0.25">
      <c r="A17">
        <v>1</v>
      </c>
      <c r="B17" s="3">
        <f>PPMT($B$4/12,A17,$B$5,$B$3,0)</f>
        <v>-11044.307493056434</v>
      </c>
      <c r="C17" s="3">
        <f>IPMT($B$4/12,A17,$B$5,$B$3,0)</f>
        <v>-8166.666666666667</v>
      </c>
      <c r="D17" s="3">
        <f>$C$7</f>
        <v>19210.9741597231</v>
      </c>
      <c r="E17" s="3">
        <f>$B$3+SUM(B$17:B17)</f>
        <v>338955.69250694354</v>
      </c>
    </row>
    <row r="18" spans="1:5" x14ac:dyDescent="0.25">
      <c r="A18">
        <f>A17+1</f>
        <v>2</v>
      </c>
      <c r="B18" s="3">
        <f t="shared" ref="B18:B40" si="0">PPMT($B$4/12,A18,$B$5,$B$3,0)</f>
        <v>-11302.00800122775</v>
      </c>
      <c r="C18" s="3">
        <f t="shared" ref="C18:C40" si="1">IPMT($B$4/12,A18,$B$5,$B$3,0)</f>
        <v>-7908.966158495351</v>
      </c>
      <c r="D18" s="3">
        <f t="shared" ref="D18:D40" si="2">$C$7</f>
        <v>19210.9741597231</v>
      </c>
      <c r="E18" s="3">
        <f>$B$3+SUM(B$17:B18)</f>
        <v>327653.68450571579</v>
      </c>
    </row>
    <row r="19" spans="1:5" x14ac:dyDescent="0.25">
      <c r="A19">
        <f t="shared" ref="A19:A40" si="3">A18+1</f>
        <v>3</v>
      </c>
      <c r="B19" s="3">
        <f t="shared" si="0"/>
        <v>-11565.721521256399</v>
      </c>
      <c r="C19" s="3">
        <f t="shared" si="1"/>
        <v>-7645.2526384667026</v>
      </c>
      <c r="D19" s="3">
        <f t="shared" si="2"/>
        <v>19210.9741597231</v>
      </c>
      <c r="E19" s="3">
        <f>$B$3+SUM(B$17:B19)</f>
        <v>316087.96298445942</v>
      </c>
    </row>
    <row r="20" spans="1:5" x14ac:dyDescent="0.25">
      <c r="A20">
        <f t="shared" si="3"/>
        <v>4</v>
      </c>
      <c r="B20" s="3">
        <f t="shared" si="0"/>
        <v>-11835.588356752383</v>
      </c>
      <c r="C20" s="3">
        <f t="shared" si="1"/>
        <v>-7375.3858029707199</v>
      </c>
      <c r="D20" s="3">
        <f t="shared" si="2"/>
        <v>19210.9741597231</v>
      </c>
      <c r="E20" s="3">
        <f>$B$3+SUM(B$17:B20)</f>
        <v>304252.37462770706</v>
      </c>
    </row>
    <row r="21" spans="1:5" x14ac:dyDescent="0.25">
      <c r="A21">
        <f t="shared" si="3"/>
        <v>5</v>
      </c>
      <c r="B21" s="3">
        <f t="shared" si="0"/>
        <v>-12111.752085076605</v>
      </c>
      <c r="C21" s="3">
        <f t="shared" si="1"/>
        <v>-7099.2220746464973</v>
      </c>
      <c r="D21" s="3">
        <f t="shared" si="2"/>
        <v>19210.9741597231</v>
      </c>
      <c r="E21" s="3">
        <f>$B$3+SUM(B$17:B21)</f>
        <v>292140.62254263042</v>
      </c>
    </row>
    <row r="22" spans="1:5" x14ac:dyDescent="0.25">
      <c r="A22">
        <f t="shared" si="3"/>
        <v>6</v>
      </c>
      <c r="B22" s="3">
        <f t="shared" si="0"/>
        <v>-12394.359633728393</v>
      </c>
      <c r="C22" s="3">
        <f t="shared" si="1"/>
        <v>-6816.6145259947098</v>
      </c>
      <c r="D22" s="3">
        <f t="shared" si="2"/>
        <v>19210.9741597231</v>
      </c>
      <c r="E22" s="3">
        <f>$B$3+SUM(B$17:B22)</f>
        <v>279746.26290890202</v>
      </c>
    </row>
    <row r="23" spans="1:5" x14ac:dyDescent="0.25">
      <c r="A23">
        <f t="shared" si="3"/>
        <v>7</v>
      </c>
      <c r="B23" s="3">
        <f t="shared" si="0"/>
        <v>-12683.561358515388</v>
      </c>
      <c r="C23" s="3">
        <f t="shared" si="1"/>
        <v>-6527.4128012077144</v>
      </c>
      <c r="D23" s="3">
        <f t="shared" si="2"/>
        <v>19210.9741597231</v>
      </c>
      <c r="E23" s="3">
        <f>$B$3+SUM(B$17:B23)</f>
        <v>267062.70155038661</v>
      </c>
    </row>
    <row r="24" spans="1:5" x14ac:dyDescent="0.25">
      <c r="A24">
        <f t="shared" si="3"/>
        <v>8</v>
      </c>
      <c r="B24" s="3">
        <f t="shared" si="0"/>
        <v>-12979.511123547411</v>
      </c>
      <c r="C24" s="3">
        <f t="shared" si="1"/>
        <v>-6231.4630361756881</v>
      </c>
      <c r="D24" s="3">
        <f t="shared" si="2"/>
        <v>19210.9741597231</v>
      </c>
      <c r="E24" s="3">
        <f>$B$3+SUM(B$17:B24)</f>
        <v>254083.19042683922</v>
      </c>
    </row>
    <row r="25" spans="1:5" x14ac:dyDescent="0.25">
      <c r="A25">
        <f t="shared" si="3"/>
        <v>9</v>
      </c>
      <c r="B25" s="3">
        <f t="shared" si="0"/>
        <v>-13282.366383096851</v>
      </c>
      <c r="C25" s="3">
        <f t="shared" si="1"/>
        <v>-5928.6077766262488</v>
      </c>
      <c r="D25" s="3">
        <f t="shared" si="2"/>
        <v>19210.9741597231</v>
      </c>
      <c r="E25" s="3">
        <f>$B$3+SUM(B$17:B25)</f>
        <v>240800.82404374238</v>
      </c>
    </row>
    <row r="26" spans="1:5" x14ac:dyDescent="0.25">
      <c r="A26">
        <f t="shared" si="3"/>
        <v>10</v>
      </c>
      <c r="B26" s="3">
        <f t="shared" si="0"/>
        <v>-13592.288265369112</v>
      </c>
      <c r="C26" s="3">
        <f t="shared" si="1"/>
        <v>-5618.6858943539892</v>
      </c>
      <c r="D26" s="3">
        <f t="shared" si="2"/>
        <v>19210.9741597231</v>
      </c>
      <c r="E26" s="3">
        <f>$B$3+SUM(B$17:B26)</f>
        <v>227208.53577837328</v>
      </c>
    </row>
    <row r="27" spans="1:5" x14ac:dyDescent="0.25">
      <c r="A27">
        <f t="shared" si="3"/>
        <v>11</v>
      </c>
      <c r="B27" s="3">
        <f t="shared" si="0"/>
        <v>-13909.441658227726</v>
      </c>
      <c r="C27" s="3">
        <f t="shared" si="1"/>
        <v>-5301.5325014953769</v>
      </c>
      <c r="D27" s="3">
        <f t="shared" si="2"/>
        <v>19210.9741597231</v>
      </c>
      <c r="E27" s="3">
        <f>$B$3+SUM(B$17:B27)</f>
        <v>213299.09412014554</v>
      </c>
    </row>
    <row r="28" spans="1:5" x14ac:dyDescent="0.25">
      <c r="A28">
        <f t="shared" si="3"/>
        <v>12</v>
      </c>
      <c r="B28" s="3">
        <f t="shared" si="0"/>
        <v>-14233.995296919706</v>
      </c>
      <c r="C28" s="3">
        <f t="shared" si="1"/>
        <v>-4976.9788628033966</v>
      </c>
      <c r="D28" s="3">
        <f t="shared" si="2"/>
        <v>19210.9741597231</v>
      </c>
      <c r="E28" s="3">
        <f>$B$3+SUM(B$17:B28)</f>
        <v>199065.09882322582</v>
      </c>
    </row>
    <row r="29" spans="1:5" x14ac:dyDescent="0.25">
      <c r="A29">
        <f t="shared" si="3"/>
        <v>13</v>
      </c>
      <c r="B29" s="3">
        <f t="shared" si="0"/>
        <v>-14566.121853847832</v>
      </c>
      <c r="C29" s="3">
        <f t="shared" si="1"/>
        <v>-4644.8523058752698</v>
      </c>
      <c r="D29" s="3">
        <f t="shared" si="2"/>
        <v>19210.9741597231</v>
      </c>
      <c r="E29" s="3">
        <f>$B$3+SUM(B$17:B29)</f>
        <v>184498.97696937798</v>
      </c>
    </row>
    <row r="30" spans="1:5" x14ac:dyDescent="0.25">
      <c r="A30">
        <f t="shared" si="3"/>
        <v>14</v>
      </c>
      <c r="B30" s="3">
        <f t="shared" si="0"/>
        <v>-14905.998030437617</v>
      </c>
      <c r="C30" s="3">
        <f t="shared" si="1"/>
        <v>-4304.9761292854873</v>
      </c>
      <c r="D30" s="3">
        <f t="shared" si="2"/>
        <v>19210.9741597231</v>
      </c>
      <c r="E30" s="3">
        <f>$B$3+SUM(B$17:B30)</f>
        <v>169592.97893894036</v>
      </c>
    </row>
    <row r="31" spans="1:5" x14ac:dyDescent="0.25">
      <c r="A31">
        <f t="shared" si="3"/>
        <v>15</v>
      </c>
      <c r="B31" s="3">
        <f t="shared" si="0"/>
        <v>-15253.804651147828</v>
      </c>
      <c r="C31" s="3">
        <f t="shared" si="1"/>
        <v>-3957.1695085752767</v>
      </c>
      <c r="D31" s="3">
        <f t="shared" si="2"/>
        <v>19210.9741597231</v>
      </c>
      <c r="E31" s="3">
        <f>$B$3+SUM(B$17:B31)</f>
        <v>154339.17428779253</v>
      </c>
    </row>
    <row r="32" spans="1:5" x14ac:dyDescent="0.25">
      <c r="A32">
        <f t="shared" si="3"/>
        <v>16</v>
      </c>
      <c r="B32" s="3">
        <f t="shared" si="0"/>
        <v>-15609.72675967461</v>
      </c>
      <c r="C32" s="3">
        <f t="shared" si="1"/>
        <v>-3601.247400048494</v>
      </c>
      <c r="D32" s="3">
        <f t="shared" si="2"/>
        <v>19210.9741597231</v>
      </c>
      <c r="E32" s="3">
        <f>$B$3+SUM(B$17:B32)</f>
        <v>138729.44752811792</v>
      </c>
    </row>
    <row r="33" spans="1:5" x14ac:dyDescent="0.25">
      <c r="A33">
        <f t="shared" si="3"/>
        <v>17</v>
      </c>
      <c r="B33" s="3">
        <f t="shared" si="0"/>
        <v>-15973.953717400351</v>
      </c>
      <c r="C33" s="3">
        <f t="shared" si="1"/>
        <v>-3237.0204423227528</v>
      </c>
      <c r="D33" s="3">
        <f t="shared" si="2"/>
        <v>19210.9741597231</v>
      </c>
      <c r="E33" s="3">
        <f>$B$3+SUM(B$17:B33)</f>
        <v>122755.49381071757</v>
      </c>
    </row>
    <row r="34" spans="1:5" x14ac:dyDescent="0.25">
      <c r="A34">
        <f t="shared" si="3"/>
        <v>18</v>
      </c>
      <c r="B34" s="3">
        <f t="shared" si="0"/>
        <v>-16346.67930413969</v>
      </c>
      <c r="C34" s="3">
        <f t="shared" si="1"/>
        <v>-2864.2948555834114</v>
      </c>
      <c r="D34" s="3">
        <f t="shared" si="2"/>
        <v>19210.9741597231</v>
      </c>
      <c r="E34" s="3">
        <f>$B$3+SUM(B$17:B34)</f>
        <v>106408.81450657788</v>
      </c>
    </row>
    <row r="35" spans="1:5" x14ac:dyDescent="0.25">
      <c r="A35">
        <f t="shared" si="3"/>
        <v>19</v>
      </c>
      <c r="B35" s="3">
        <f t="shared" si="0"/>
        <v>-16728.101821236283</v>
      </c>
      <c r="C35" s="3">
        <f t="shared" si="1"/>
        <v>-2482.8723384868181</v>
      </c>
      <c r="D35" s="3">
        <f t="shared" si="2"/>
        <v>19210.9741597231</v>
      </c>
      <c r="E35" s="3">
        <f>$B$3+SUM(B$17:B35)</f>
        <v>89680.712685341598</v>
      </c>
    </row>
    <row r="36" spans="1:5" x14ac:dyDescent="0.25">
      <c r="A36">
        <f t="shared" si="3"/>
        <v>20</v>
      </c>
      <c r="B36" s="3">
        <f t="shared" si="0"/>
        <v>-17118.424197065131</v>
      </c>
      <c r="C36" s="3">
        <f t="shared" si="1"/>
        <v>-2092.5499626579717</v>
      </c>
      <c r="D36" s="3">
        <f t="shared" si="2"/>
        <v>19210.9741597231</v>
      </c>
      <c r="E36" s="3">
        <f>$B$3+SUM(B$17:B36)</f>
        <v>72562.288488276477</v>
      </c>
    </row>
    <row r="37" spans="1:5" x14ac:dyDescent="0.25">
      <c r="A37">
        <f t="shared" si="3"/>
        <v>21</v>
      </c>
      <c r="B37" s="3">
        <f t="shared" si="0"/>
        <v>-17517.854094996648</v>
      </c>
      <c r="C37" s="3">
        <f t="shared" si="1"/>
        <v>-1693.1200647264523</v>
      </c>
      <c r="D37" s="3">
        <f t="shared" si="2"/>
        <v>19210.9741597231</v>
      </c>
      <c r="E37" s="3">
        <f>$B$3+SUM(B$17:B37)</f>
        <v>55044.434393279837</v>
      </c>
    </row>
    <row r="38" spans="1:5" x14ac:dyDescent="0.25">
      <c r="A38">
        <f t="shared" si="3"/>
        <v>22</v>
      </c>
      <c r="B38" s="3">
        <f t="shared" si="0"/>
        <v>-17926.604023879907</v>
      </c>
      <c r="C38" s="3">
        <f t="shared" si="1"/>
        <v>-1284.3701358431967</v>
      </c>
      <c r="D38" s="3">
        <f t="shared" si="2"/>
        <v>19210.9741597231</v>
      </c>
      <c r="E38" s="3">
        <f>$B$3+SUM(B$17:B38)</f>
        <v>37117.830369399919</v>
      </c>
    </row>
    <row r="39" spans="1:5" x14ac:dyDescent="0.25">
      <c r="A39">
        <f t="shared" si="3"/>
        <v>23</v>
      </c>
      <c r="B39" s="3">
        <f t="shared" si="0"/>
        <v>-18344.891451103769</v>
      </c>
      <c r="C39" s="3">
        <f t="shared" si="1"/>
        <v>-866.08270861933249</v>
      </c>
      <c r="D39" s="3">
        <f t="shared" si="2"/>
        <v>19210.9741597231</v>
      </c>
      <c r="E39" s="3">
        <f>$B$3+SUM(B$17:B39)</f>
        <v>18772.938918296131</v>
      </c>
    </row>
    <row r="40" spans="1:5" x14ac:dyDescent="0.25">
      <c r="A40">
        <f t="shared" si="3"/>
        <v>24</v>
      </c>
      <c r="B40" s="3">
        <f t="shared" si="0"/>
        <v>-18772.93891829619</v>
      </c>
      <c r="C40" s="3">
        <f t="shared" si="1"/>
        <v>-438.03524142691111</v>
      </c>
      <c r="D40" s="3">
        <f t="shared" si="2"/>
        <v>19210.9741597231</v>
      </c>
      <c r="E40" s="3">
        <f>$B$3+SUM(B$17:B40)</f>
        <v>0</v>
      </c>
    </row>
  </sheetData>
  <mergeCells count="4">
    <mergeCell ref="A1:E1"/>
    <mergeCell ref="A7:B7"/>
    <mergeCell ref="A11:B11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2026-06-17T10:31:48Z</dcterms:modified>
</cp:coreProperties>
</file>